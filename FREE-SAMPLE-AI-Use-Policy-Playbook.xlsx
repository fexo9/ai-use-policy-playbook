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OLICY-TEMPLATE" sheetId="2" state="visible" r:id="rId2"/>
    <sheet xmlns:r="http://schemas.openxmlformats.org/officeDocument/2006/relationships" name="DATA-TIERS" sheetId="3" state="visible" r:id="rId3"/>
    <sheet xmlns:r="http://schemas.openxmlformats.org/officeDocument/2006/relationships" name="TOOL-REGISTER" sheetId="4" state="visible" r:id="rId4"/>
    <sheet xmlns:r="http://schemas.openxmlformats.org/officeDocument/2006/relationships" name="VERIFICATION-CHECKLIST" sheetId="5" state="visible" r:id="rId5"/>
    <sheet xmlns:r="http://schemas.openxmlformats.org/officeDocument/2006/relationships" name="TRAINING-SIGN-OFF" sheetId="6" state="visible" r:id="rId6"/>
    <sheet xmlns:r="http://schemas.openxmlformats.org/officeDocument/2006/relationships" name="INCIDENT-RESPONSE" sheetId="7" state="visible" r:id="rId7"/>
    <sheet xmlns:r="http://schemas.openxmlformats.org/officeDocument/2006/relationships" name="ROLLOUT-PLAN" sheetId="8" state="visible" r:id="rId8"/>
    <sheet xmlns:r="http://schemas.openxmlformats.org/officeDocument/2006/relationships" name="WORKED-EXAMPLE"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E1A2F"/>
      <sz val="14"/>
    </font>
    <font>
      <b val="1"/>
      <color rgb="002E1A2F"/>
      <sz val="11"/>
    </font>
    <font>
      <b val="1"/>
      <sz val="10"/>
    </font>
    <font>
      <b val="1"/>
      <color rgb="00FFFFFF"/>
      <sz val="11"/>
    </font>
    <font>
      <b val="1"/>
      <sz val="12"/>
    </font>
    <font>
      <b val="1"/>
    </font>
    <font>
      <b val="1"/>
      <color rgb="009C0006"/>
      <sz val="12"/>
    </font>
  </fonts>
  <fills count="6">
    <fill>
      <patternFill/>
    </fill>
    <fill>
      <patternFill patternType="gray125"/>
    </fill>
    <fill>
      <patternFill patternType="solid">
        <fgColor rgb="002E1A2F"/>
      </patternFill>
    </fill>
    <fill>
      <patternFill patternType="solid">
        <fgColor rgb="00FFF2CC"/>
      </patternFill>
    </fill>
    <fill>
      <patternFill patternType="solid">
        <fgColor rgb="00FCE4E4"/>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2"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pivotButton="0" quotePrefix="0" xfId="0"/>
    <xf numFmtId="0" fontId="5" fillId="4" borderId="1" pivotButton="0" quotePrefix="0" xfId="0"/>
    <xf numFmtId="0" fontId="0" fillId="4" borderId="1" applyAlignment="1" pivotButton="0" quotePrefix="0" xfId="0">
      <alignment vertical="top" wrapText="1"/>
    </xf>
    <xf numFmtId="0" fontId="5" fillId="3" borderId="1" pivotButton="0" quotePrefix="0" xfId="0"/>
    <xf numFmtId="0" fontId="5" fillId="5" borderId="1" pivotButton="0" quotePrefix="0" xfId="0"/>
    <xf numFmtId="0" fontId="0" fillId="5" borderId="1" applyAlignment="1" pivotButton="0" quotePrefix="0" xfId="0">
      <alignment vertical="top" wrapText="1"/>
    </xf>
    <xf numFmtId="0" fontId="0" fillId="0" borderId="1" pivotButton="0" quotePrefix="0" xfId="0"/>
    <xf numFmtId="0" fontId="0" fillId="4" borderId="0" pivotButton="0" quotePrefix="0" xfId="0"/>
    <xf numFmtId="0" fontId="6" fillId="4" borderId="0" pivotButton="0" quotePrefix="0" xfId="0"/>
    <xf numFmtId="0" fontId="0" fillId="3" borderId="0" pivotButton="0" quotePrefix="0" xfId="0"/>
    <xf numFmtId="0" fontId="6" fillId="3" borderId="0" pivotButton="0" quotePrefix="0" xfId="0"/>
    <xf numFmtId="0" fontId="0" fillId="5" borderId="0" pivotButton="0" quotePrefix="0" xfId="0"/>
    <xf numFmtId="0" fontId="6" fillId="5" borderId="0" pivotButton="0" quotePrefix="0" xfId="0"/>
    <xf numFmtId="0" fontId="6" fillId="0" borderId="0" pivotButton="0" quotePrefix="0" xfId="0"/>
    <xf numFmtId="0" fontId="7" fillId="0" borderId="0" pivotButton="0" quotePrefix="0" xfId="0"/>
    <xf numFmtId="9" fontId="5" fillId="0" borderId="0" pivotButton="0" quotePrefix="0" xfId="0"/>
    <xf numFmtId="9"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7"/>
  <sheetViews>
    <sheetView workbookViewId="0">
      <selection activeCell="A1" sqref="A1"/>
    </sheetView>
  </sheetViews>
  <sheetFormatPr baseColWidth="8" defaultRowHeight="15"/>
  <cols>
    <col width="26" customWidth="1" min="1" max="1"/>
    <col width="120" customWidth="1" min="2" max="2"/>
  </cols>
  <sheetData>
    <row r="1">
      <c r="A1" s="1" t="inlineStr">
        <is>
          <t>Small-Business AI Use Policy &amp; Safe-AI Playbook</t>
        </is>
      </c>
    </row>
    <row r="2" ht="45" customHeight="1">
      <c r="A2" s="2" t="inlineStr">
        <is>
          <t>What this is</t>
        </is>
      </c>
      <c r="B2" s="3" t="inlineStr">
        <is>
          <t>A policy-and-process kit for small-business owners whose staff already use public AI tools with no rules. It gives you: a fill-in-the-blank Employee AI Acceptable-Use Policy, a RED/AMBER/GREEN data-classification system, an approved-tools register with a shadow-AI discovery sweep, a mandatory AI-output verification checklist, a one-page employee training plus sign-off log, an incident-response sheet (data leaks + gen-AI scams), and a 30-day rollout planner.</t>
        </is>
      </c>
    </row>
    <row r="3" ht="45" customHeight="1">
      <c r="A3" s="2" t="inlineStr">
        <is>
          <t>The one rule</t>
        </is>
      </c>
      <c r="B3" s="3" t="inlineStr">
        <is>
          <t>No AI output goes client-facing or drives a business decision until it passes the VERIFICATION-CHECKLIST. And no employee touches company or customer data with an AI tool until they have signed the training log. These two rules are the whole kit.</t>
        </is>
      </c>
    </row>
    <row r="4" ht="45" customHeight="1">
      <c r="A4" s="2" t="inlineStr">
        <is>
          <t>How the rollout runs</t>
        </is>
      </c>
      <c r="B4" s="3" t="inlineStr">
        <is>
          <t>Week 1: run the shadow-AI sweep and fill the TOOL-REGISTER; classify your data on DATA-TIERS. Week 2: finalize the policy from POLICY-TEMPLATE and approve the tool list. Week 3: train every employee (TRAINING-SIGN-OFF) and collect signatures. Week 4: make the verification checklist mandatory and keep the INCIDENT-RESPONSE sheet live. Details on ROLLOUT-PLAN.</t>
        </is>
      </c>
    </row>
    <row r="5" ht="30" customHeight="1">
      <c r="A5" s="2" t="inlineStr">
        <is>
          <t>Statuses</t>
        </is>
      </c>
      <c r="B5" s="3" t="inlineStr">
        <is>
          <t>DONE = verified with evidence. PENDING = not done yet. N/A = does not apply. The verdict formulas count these automatically.</t>
        </is>
      </c>
    </row>
    <row r="6" ht="45" customHeight="1">
      <c r="A6" s="2" t="inlineStr">
        <is>
          <t>Language note</t>
        </is>
      </c>
      <c r="B6" s="3" t="inlineStr">
        <is>
          <t>Sheet names, headers, and instructions are in your language. The policy template BODY text stays in English in every workbook — this is deliberate: policy wording must be adapted to your company and reviewed against your local employment and privacy law before use. Tier color labels RED/AMBER/GREEN stay English everywhere because they are color-coded signals, not prose.</t>
        </is>
      </c>
    </row>
    <row r="7" ht="45" customHeight="1">
      <c r="A7" s="2" t="inlineStr">
        <is>
          <t>What this kit is NOT</t>
        </is>
      </c>
      <c r="B7" s="3" t="inlineStr">
        <is>
          <t>Not legal advice. Not cybersecurity software. Not a substitute for cyber insurance or an IT security review. Templates require customization. Nothing here guarantees you will prevent incidents. See LIMITS.md.</t>
        </is>
      </c>
    </row>
    <row r="8">
      <c r="A8" s="2" t="inlineStr">
        <is>
          <t>Sheets</t>
        </is>
      </c>
      <c r="B8" s="3" t="inlineStr">
        <is>
          <t>START / POLICY-TEMPLATE / DATA-TIERS / TOOL-REGISTER / VERIFICATION-CHECKLIST / TRAINING-SIGN-OFF / INCIDENT-RESPONSE / ROLLOUT-PLAN / WORKED-EXAMPLE</t>
        </is>
      </c>
    </row>
    <row r="10">
      <c r="A10" s="2" t="inlineStr">
        <is>
          <t>EVIDENCE — read before you dismiss this</t>
        </is>
      </c>
    </row>
    <row r="11" ht="30" customHeight="1">
      <c r="A11" s="4" t="inlineStr">
        <is>
          <t>Why this kit exists — the numbers are the sources', not ours</t>
        </is>
      </c>
      <c r="B11" s="3" t="inlineStr">
        <is>
          <t>Six published sources, quoted with their figures. We did not measure these; we repeat them so you can check them.</t>
        </is>
      </c>
    </row>
    <row r="12" ht="30" customHeight="1">
      <c r="A12" s="4" t="inlineStr">
        <is>
          <t>1. SBE Council Small Business Check Up (Oct 8, 2026; n=516 small employers, survey by TechnoMetrica)</t>
        </is>
      </c>
      <c r="B12" s="3" t="inlineStr">
        <is>
          <t>58% of small employers use AI agents regularly or occasionally; 14% are considering it.</t>
        </is>
      </c>
    </row>
    <row r="13" ht="45" customHeight="1">
      <c r="A13" s="4" t="inlineStr">
        <is>
          <t>2. MainNerve 2026 Small Business Cybersecurity Survey (Oct 2026)</t>
        </is>
      </c>
      <c r="B13" s="3" t="inlineStr">
        <is>
          <t>87% AI adoption vs only 46% with any formal AI guidelines. Among breached organizations, 1-in-5 had shadow-AI incidents — adding ~$670,000 to the average breach cost (per the IBM 2025 Cost of a Data Breach report).</t>
        </is>
      </c>
    </row>
    <row r="14" ht="30" customHeight="1">
      <c r="A14" s="4" t="inlineStr">
        <is>
          <t>3. Anagram 2026 (reported via Defend-ID)</t>
        </is>
      </c>
      <c r="B14" s="3" t="inlineStr">
        <is>
          <t>58% of employees admitted pasting sensitive data — client records, internal documents — into LLMs; about half use unapproved AI tools.</t>
        </is>
      </c>
    </row>
    <row r="15" ht="30" customHeight="1">
      <c r="A15" s="4" t="inlineStr">
        <is>
          <t>4. Freshworks 2026 (reported via Defend-ID)</t>
        </is>
      </c>
      <c r="B15" s="3" t="inlineStr">
        <is>
          <t>86% of IT leaders had a negative event tied to unauthorized AI use; a quarter experienced it 3+ times.</t>
        </is>
      </c>
    </row>
    <row r="16" ht="45" customHeight="1">
      <c r="A16" s="4" t="inlineStr">
        <is>
          <t>5. Nationwide / Edelman Intelligence (Sep 23, 2026)</t>
        </is>
      </c>
      <c r="B16" s="3" t="inlineStr">
        <is>
          <t>60% of owners say employees use public AI chatbots/writing tools; only 36% have written policies; 27% have rules on what company/customer information may be entered; 31% were targeted by gen-AI scam/fraud in the past 12 months.</t>
        </is>
      </c>
    </row>
    <row r="17" ht="30" customHeight="1">
      <c r="A17" s="4" t="inlineStr">
        <is>
          <t>6. Textmagic (Aug 2026; n=500 US decision-makers)</t>
        </is>
      </c>
      <c r="B17" s="3" t="inlineStr">
        <is>
          <t>87% use AI for customer messaging; 46% are held back by quality/trust concerns.</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13"/>
  <sheetViews>
    <sheetView workbookViewId="0">
      <selection activeCell="A1" sqref="A1"/>
    </sheetView>
  </sheetViews>
  <sheetFormatPr baseColWidth="8" defaultRowHeight="15"/>
  <cols>
    <col width="24" customWidth="1" min="1" max="1"/>
    <col width="90" customWidth="1" min="2" max="2"/>
    <col width="60" customWidth="1" min="3" max="3"/>
  </cols>
  <sheetData>
    <row r="1">
      <c r="A1" s="1" t="inlineStr">
        <is>
          <t>EMPLOYEE AI ACCEPTABLE-USE POLICY — fill-in-the-blank template</t>
        </is>
      </c>
    </row>
    <row r="2" ht="45" customHeight="1">
      <c r="A2" s="3" t="inlineStr">
        <is>
          <t>Fill the [brackets] in the middle column, then copy your final wording into the right column. Have the final text reviewed against your local employment and privacy law before issuing it. The template body stays in English in every workbook by design (see START).</t>
        </is>
      </c>
    </row>
    <row r="4">
      <c r="A4" s="5" t="inlineStr">
        <is>
          <t>Section</t>
        </is>
      </c>
      <c r="B4" s="5" t="inlineStr">
        <is>
          <t>Template text (fill in the [brackets])</t>
        </is>
      </c>
      <c r="C4" s="5" t="inlineStr">
        <is>
          <t>Your version</t>
        </is>
      </c>
    </row>
    <row r="5" ht="75" customHeight="1">
      <c r="A5" s="6" t="inlineStr">
        <is>
          <t>1. Purpose</t>
        </is>
      </c>
      <c r="B5" s="7" t="inlineStr">
        <is>
          <t>This policy exists so our company can use AI tools safely. Our employees already use AI in their work. Without rules, company and customer data can leak into public AI tools, and AI mistakes can reach clients. This policy sets the rules.</t>
        </is>
      </c>
      <c r="C5" s="8" t="inlineStr">
        <is>
          <t>This policy applies to every person who works for Meridian Studio (EXAMPLE), including employees, contractors, and interns.</t>
        </is>
      </c>
    </row>
    <row r="6" ht="75" customHeight="1">
      <c r="A6" s="6" t="inlineStr">
        <is>
          <t>2. Scope — who this covers</t>
        </is>
      </c>
      <c r="B6" s="7" t="inlineStr">
        <is>
          <t>This policy applies to every person who works for [COMPANY NAME], including employees, contractors, interns, and temporary staff, on company devices and on personal devices used for work.</t>
        </is>
      </c>
      <c r="C6" s="9" t="n"/>
    </row>
    <row r="7" ht="75" customHeight="1">
      <c r="A7" s="6" t="inlineStr">
        <is>
          <t>3. Approved tools</t>
        </is>
      </c>
      <c r="B7" s="7" t="inlineStr">
        <is>
          <t>Employees may use ONLY the AI tools listed as Approved on the TOOL-REGISTER sheet. Any tool not on the register is unapproved until the owner reviews and approves it. Personal/free accounts of public AI tools are NEVER approved for company or customer data.</t>
        </is>
      </c>
      <c r="C7" s="8" t="inlineStr">
        <is>
          <t>Employees may use ONLY the AI tools listed as Approved on the TOOL-REGISTER sheet (EXAMPLE: AcmeChat Pro, DocuDraft).</t>
        </is>
      </c>
    </row>
    <row r="8" ht="75" customHeight="1">
      <c r="A8" s="6" t="inlineStr">
        <is>
          <t>4. Prohibited uses</t>
        </is>
      </c>
      <c r="B8" s="7" t="inlineStr">
        <is>
          <t>Employees must NEVER: (a) enter RED-tier data into any AI tool; (b) use AI to make hiring, firing, pay, or disciplinary decisions about people; (c) present AI output to a client as human work without disclosure where our contracts require it; (d) use AI to impersonate clients, staff, or officials; (e) disable safety settings on approved tools.</t>
        </is>
      </c>
      <c r="C8" s="9" t="n"/>
    </row>
    <row r="9" ht="75" customHeight="1">
      <c r="A9" s="6" t="inlineStr">
        <is>
          <t>5. Data-entry rules (RED / AMBER / GREEN)</t>
        </is>
      </c>
      <c r="B9" s="7" t="inlineStr">
        <is>
          <t>RED data (client PII, credentials, financials, trade secrets, health/legal data) must NEVER be entered into any AI tool. AMBER data (internal strategy, draft proposals, vendor terms) may go ONLY into approved enterprise-tier tools, with the owner's sign-off. GREEN data (public copy, general research, templates) may go into approved public tools. When in doubt, treat it as RED and ask [OWNER NAME / ROLE].</t>
        </is>
      </c>
      <c r="C9" s="9" t="n"/>
    </row>
    <row r="10" ht="75" customHeight="1">
      <c r="A10" s="6" t="inlineStr">
        <is>
          <t>6. Output verification duty</t>
        </is>
      </c>
      <c r="B10" s="7" t="inlineStr">
        <is>
          <t>No AI output goes to a client or drives a business decision until it passes every check on the VERIFICATION-CHECKLIST. The employee who generated the output is responsible for verification. A second person reviews anything client-facing.</t>
        </is>
      </c>
      <c r="C10" s="9" t="n"/>
    </row>
    <row r="11" ht="75" customHeight="1">
      <c r="A11" s="6" t="inlineStr">
        <is>
          <t>7. Training requirement</t>
        </is>
      </c>
      <c r="B11" s="7" t="inlineStr">
        <is>
          <t>Every employee must complete the responsible-use training (TRAINING-SIGN-OFF sheet) and sign the log before using AI tools for work. New hires complete it in their first week. Refresher training runs every [6 / 12] months.</t>
        </is>
      </c>
      <c r="C11" s="9" t="n"/>
    </row>
    <row r="12" ht="75" customHeight="1">
      <c r="A12" s="6" t="inlineStr">
        <is>
          <t>8. Enforcement</t>
        </is>
      </c>
      <c r="B12" s="7" t="inlineStr">
        <is>
          <t>A first violation leads to a written warning and re-training. A second violation, or any violation that exposes RED data, leads to [disciplinary action per company policy, up to and including termination], consistent with local employment law.</t>
        </is>
      </c>
      <c r="C12" s="9" t="n"/>
    </row>
    <row r="13" ht="75" customHeight="1">
      <c r="A13" s="6" t="inlineStr">
        <is>
          <t>9. Review date</t>
        </is>
      </c>
      <c r="B13" s="7" t="inlineStr">
        <is>
          <t>This policy is reviewed every 6 months and whenever we adopt a new AI tool or suffer an incident. Next review date: [DATE]. Policy owner: [NAME / ROLE].</t>
        </is>
      </c>
      <c r="C13" s="8" t="inlineStr">
        <is>
          <t>Next review date: 2027-03-01 (EXAMPLE). Policy owner: the studio owner.</t>
        </is>
      </c>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C39"/>
  <sheetViews>
    <sheetView workbookViewId="0">
      <pane ySplit="9" topLeftCell="A10" activePane="bottomLeft" state="frozen"/>
      <selection pane="bottomLeft" activeCell="A1" sqref="A1"/>
    </sheetView>
  </sheetViews>
  <sheetFormatPr baseColWidth="8" defaultRowHeight="15"/>
  <cols>
    <col width="62" customWidth="1" min="1" max="1"/>
    <col width="16" customWidth="1" min="2" max="2"/>
    <col width="44" customWidth="1" min="3" max="3"/>
  </cols>
  <sheetData>
    <row r="1">
      <c r="A1" s="1" t="inlineStr">
        <is>
          <t>DATA CLASSIFICATION — RED / AMBER / GREEN</t>
        </is>
      </c>
    </row>
    <row r="2" ht="30" customHeight="1">
      <c r="A2" s="3" t="inlineStr">
        <is>
          <t>Step 1: read the tier table. Step 2: classify YOUR data items below — every recurring data type your team handles gets one tier. When in doubt, pick RED.</t>
        </is>
      </c>
    </row>
    <row r="3"/>
    <row r="4">
      <c r="A4" s="5" t="inlineStr">
        <is>
          <t>Tier</t>
        </is>
      </c>
      <c r="B4" s="5" t="inlineStr">
        <is>
          <t>Meaning</t>
        </is>
      </c>
      <c r="C4" s="5" t="inlineStr">
        <is>
          <t>Examples</t>
        </is>
      </c>
    </row>
    <row r="5" ht="110" customHeight="1">
      <c r="A5" s="10" t="inlineStr">
        <is>
          <t>RED</t>
        </is>
      </c>
      <c r="B5" s="11" t="inlineStr">
        <is>
          <t>NEVER into any AI tool — not even approved ones</t>
        </is>
      </c>
      <c r="C5" s="11" t="inlineStr">
        <is>
          <t>• Client names, emails, phone numbers, addresses (client PII)
• Login credentials, passwords, API keys, access tokens
• Bank details, payroll, invoices with account numbers
• Trade secrets, proprietary methods, unreleased products
• Health or legal information about identifiable people
• Unreleased pricing, contracts, or acquisition plans</t>
        </is>
      </c>
    </row>
    <row r="6" ht="110" customHeight="1">
      <c r="A6" s="12" t="inlineStr">
        <is>
          <t>AMBER</t>
        </is>
      </c>
      <c r="B6" s="8" t="inlineStr">
        <is>
          <t>Approved enterprise-tier tools ONLY, with the owner's sign-off</t>
        </is>
      </c>
      <c r="C6" s="8" t="inlineStr">
        <is>
          <t>• Internal strategy documents and meeting notes
• Draft proposals not yet approved by the client
• Vendor contracts under negotiation
• Employee performance notes
• Anonymized client data (identifiers removed)</t>
        </is>
      </c>
    </row>
    <row r="7" ht="110" customHeight="1">
      <c r="A7" s="13" t="inlineStr">
        <is>
          <t>GREEN</t>
        </is>
      </c>
      <c r="B7" s="14" t="inlineStr">
        <is>
          <t>Safe for approved public AI tools</t>
        </is>
      </c>
      <c r="C7" s="14" t="inlineStr">
        <is>
          <t>• Published marketing copy and public pricing pages
• General industry research questions
• Meeting agenda and email templates
• Brainstorming prompts with no company specifics
• Public help-center articles</t>
        </is>
      </c>
    </row>
    <row r="8"/>
    <row r="9">
      <c r="A9" s="2" t="inlineStr">
        <is>
          <t>YOUR CLASSIFICATION — pick one tier per item</t>
        </is>
      </c>
    </row>
    <row r="10">
      <c r="A10" s="5" t="inlineStr">
        <is>
          <t>Your data item</t>
        </is>
      </c>
      <c r="B10" s="5" t="inlineStr">
        <is>
          <t>Tier (pick one)</t>
        </is>
      </c>
      <c r="C10" s="5" t="inlineStr">
        <is>
          <t>Notes</t>
        </is>
      </c>
    </row>
    <row r="11" ht="28" customHeight="1">
      <c r="A11" s="7" t="inlineStr">
        <is>
          <t>Client contact list (names, emails, phones)</t>
        </is>
      </c>
      <c r="B11" s="9" t="inlineStr">
        <is>
          <t>RED</t>
        </is>
      </c>
      <c r="C11" s="15" t="inlineStr"/>
    </row>
    <row r="12" ht="28" customHeight="1">
      <c r="A12" s="7" t="inlineStr">
        <is>
          <t>Our public pricing page</t>
        </is>
      </c>
      <c r="B12" s="9" t="inlineStr">
        <is>
          <t>RED</t>
        </is>
      </c>
      <c r="C12" s="15" t="inlineStr"/>
    </row>
    <row r="13" ht="28" customHeight="1">
      <c r="A13" s="7" t="inlineStr">
        <is>
          <t>Employee salary spreadsheet</t>
        </is>
      </c>
      <c r="B13" s="9" t="inlineStr">
        <is>
          <t>RED</t>
        </is>
      </c>
      <c r="C13" s="15" t="inlineStr"/>
    </row>
    <row r="14" ht="28" customHeight="1">
      <c r="A14" s="7" t="inlineStr">
        <is>
          <t>Draft proposal for a client (not yet sent)</t>
        </is>
      </c>
      <c r="B14" s="9" t="inlineStr">
        <is>
          <t>RED</t>
        </is>
      </c>
      <c r="C14" s="15" t="inlineStr"/>
    </row>
    <row r="15" ht="28" customHeight="1">
      <c r="A15" s="7" t="inlineStr">
        <is>
          <t>Login password for the company bank portal</t>
        </is>
      </c>
      <c r="B15" s="9" t="inlineStr">
        <is>
          <t>RED</t>
        </is>
      </c>
      <c r="C15" s="15" t="inlineStr"/>
    </row>
    <row r="16" ht="28" customHeight="1">
      <c r="A16" s="7" t="inlineStr">
        <is>
          <t>Blog post draft about industry trends</t>
        </is>
      </c>
      <c r="B16" s="9" t="inlineStr">
        <is>
          <t>RED</t>
        </is>
      </c>
      <c r="C16" s="15" t="inlineStr"/>
    </row>
    <row r="17" ht="28" customHeight="1">
      <c r="A17" s="7" t="inlineStr">
        <is>
          <t>Internal strategy memo for Q1</t>
        </is>
      </c>
      <c r="B17" s="9" t="inlineStr">
        <is>
          <t>RED</t>
        </is>
      </c>
      <c r="C17" s="15" t="inlineStr"/>
    </row>
    <row r="18" ht="28" customHeight="1">
      <c r="A18" s="7" t="inlineStr">
        <is>
          <t>API key for our payment processor</t>
        </is>
      </c>
      <c r="B18" s="9" t="inlineStr">
        <is>
          <t>RED</t>
        </is>
      </c>
      <c r="C18" s="15" t="inlineStr"/>
    </row>
    <row r="19" ht="28" customHeight="1">
      <c r="A19" s="7" t="inlineStr">
        <is>
          <t>Client contract under negotiation</t>
        </is>
      </c>
      <c r="B19" s="9" t="inlineStr">
        <is>
          <t>RED</t>
        </is>
      </c>
      <c r="C19" s="15" t="inlineStr"/>
    </row>
    <row r="20" ht="28" customHeight="1">
      <c r="A20" s="7" t="inlineStr">
        <is>
          <t>Meeting agenda template</t>
        </is>
      </c>
      <c r="B20" s="9" t="inlineStr">
        <is>
          <t>RED</t>
        </is>
      </c>
      <c r="C20" s="15" t="inlineStr"/>
    </row>
    <row r="21" ht="28" customHeight="1">
      <c r="A21" s="7" t="inlineStr">
        <is>
          <t>Customer support ticket with a client's address</t>
        </is>
      </c>
      <c r="B21" s="9" t="inlineStr">
        <is>
          <t>AMBER</t>
        </is>
      </c>
      <c r="C21" s="15" t="inlineStr"/>
    </row>
    <row r="22" ht="28" customHeight="1">
      <c r="A22" s="7" t="inlineStr">
        <is>
          <t>Vendor quote we are comparing</t>
        </is>
      </c>
      <c r="B22" s="9" t="inlineStr">
        <is>
          <t>AMBER</t>
        </is>
      </c>
      <c r="C22" s="15" t="inlineStr"/>
    </row>
    <row r="23" ht="28" customHeight="1">
      <c r="A23" s="7" t="inlineStr">
        <is>
          <t>Brainstorm list for a campaign (no client names)</t>
        </is>
      </c>
      <c r="B23" s="9" t="inlineStr">
        <is>
          <t>AMBER</t>
        </is>
      </c>
      <c r="C23" s="15" t="inlineStr"/>
    </row>
    <row r="24" ht="28" customHeight="1">
      <c r="A24" s="7" t="inlineStr">
        <is>
          <t>Employee performance review notes</t>
        </is>
      </c>
      <c r="B24" s="9" t="inlineStr">
        <is>
          <t>AMBER</t>
        </is>
      </c>
      <c r="C24" s="15" t="inlineStr"/>
    </row>
    <row r="25" ht="28" customHeight="1">
      <c r="A25" s="7" t="inlineStr">
        <is>
          <t>Trade-secret production method</t>
        </is>
      </c>
      <c r="B25" s="9" t="inlineStr">
        <is>
          <t>AMBER</t>
        </is>
      </c>
      <c r="C25" s="15" t="inlineStr"/>
    </row>
    <row r="26" ht="28" customHeight="1">
      <c r="A26" s="7" t="inlineStr">
        <is>
          <t>Public FAQ page text</t>
        </is>
      </c>
      <c r="B26" s="9" t="inlineStr">
        <is>
          <t>AMBER</t>
        </is>
      </c>
      <c r="C26" s="15" t="inlineStr"/>
    </row>
    <row r="27" ht="28" customHeight="1">
      <c r="A27" s="7" t="inlineStr">
        <is>
          <t>Client's unreleased product specs</t>
        </is>
      </c>
      <c r="B27" s="9" t="inlineStr">
        <is>
          <t>AMBER</t>
        </is>
      </c>
      <c r="C27" s="15" t="inlineStr"/>
    </row>
    <row r="28" ht="28" customHeight="1">
      <c r="A28" s="7" t="inlineStr">
        <is>
          <t>Email template for appointment reminders</t>
        </is>
      </c>
      <c r="B28" s="9" t="inlineStr">
        <is>
          <t>AMBER</t>
        </is>
      </c>
      <c r="C28" s="15" t="inlineStr"/>
    </row>
    <row r="29" ht="28" customHeight="1">
      <c r="A29" s="7" t="inlineStr">
        <is>
          <t>Payroll export file</t>
        </is>
      </c>
      <c r="B29" s="9" t="inlineStr">
        <is>
          <t>GREEN</t>
        </is>
      </c>
      <c r="C29" s="15" t="inlineStr"/>
    </row>
    <row r="30" ht="28" customHeight="1">
      <c r="A30" s="7" t="inlineStr">
        <is>
          <t>Competitor analysis from public sources</t>
        </is>
      </c>
      <c r="B30" s="9" t="inlineStr">
        <is>
          <t>GREEN</t>
        </is>
      </c>
      <c r="C30" s="15" t="inlineStr"/>
    </row>
    <row r="31" ht="28" customHeight="1">
      <c r="A31" s="7" t="inlineStr">
        <is>
          <t>Client's health information (from a form they filled)</t>
        </is>
      </c>
      <c r="B31" s="9" t="inlineStr">
        <is>
          <t>GREEN</t>
        </is>
      </c>
      <c r="C31" s="15" t="inlineStr"/>
    </row>
    <row r="32" ht="28" customHeight="1">
      <c r="A32" s="7" t="inlineStr">
        <is>
          <t>Internal chat export about a project delay</t>
        </is>
      </c>
      <c r="B32" s="9" t="inlineStr">
        <is>
          <t>GREEN</t>
        </is>
      </c>
      <c r="C32" s="15" t="inlineStr"/>
    </row>
    <row r="33" ht="28" customHeight="1">
      <c r="A33" s="7" t="inlineStr">
        <is>
          <t>Photo release forms signed by clients</t>
        </is>
      </c>
      <c r="B33" s="9" t="inlineStr">
        <is>
          <t>GREEN</t>
        </is>
      </c>
      <c r="C33" s="15" t="inlineStr"/>
    </row>
    <row r="34" ht="28" customHeight="1">
      <c r="A34" s="7" t="inlineStr">
        <is>
          <t>Generic prompt: 'write 5 headline ideas for a bakery'</t>
        </is>
      </c>
      <c r="B34" s="9" t="inlineStr">
        <is>
          <t>GREEN</t>
        </is>
      </c>
      <c r="C34" s="15" t="inlineStr"/>
    </row>
    <row r="36">
      <c r="A36" s="2" t="inlineStr">
        <is>
          <t>Total</t>
        </is>
      </c>
    </row>
    <row r="37">
      <c r="A37" s="16" t="inlineStr">
        <is>
          <t>RED</t>
        </is>
      </c>
      <c r="B37" s="17">
        <f>COUNTIF(B11:B34,"RED")</f>
        <v/>
      </c>
    </row>
    <row r="38">
      <c r="A38" s="18" t="inlineStr">
        <is>
          <t>AMBER</t>
        </is>
      </c>
      <c r="B38" s="19">
        <f>COUNTIF(B11:B34,"AMBER")</f>
        <v/>
      </c>
    </row>
    <row r="39">
      <c r="A39" s="20" t="inlineStr">
        <is>
          <t>GREEN</t>
        </is>
      </c>
      <c r="B39" s="21">
        <f>COUNTIF(B11:B34,"GREEN")</f>
        <v/>
      </c>
    </row>
  </sheetData>
  <mergeCells count="1">
    <mergeCell ref="A2:C2"/>
  </mergeCells>
  <dataValidations count="1">
    <dataValidation sqref="B11 B12 B13 B14 B15 B16 B17 B18 B19 B20 B21 B22 B23 B24 B25 B26 B27 B28 B29 B30 B31 B32 B33 B34" showDropDown="0" showInputMessage="0" showErrorMessage="0" allowBlank="1" type="list">
      <formula1>"RED,AMBER,GREEN"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E37"/>
  <sheetViews>
    <sheetView workbookViewId="0">
      <selection activeCell="A1" sqref="A1"/>
    </sheetView>
  </sheetViews>
  <sheetFormatPr baseColWidth="8" defaultRowHeight="15"/>
  <cols>
    <col width="62" customWidth="1" min="1" max="1"/>
    <col width="20" customWidth="1" min="2" max="2"/>
    <col width="18" customWidth="1" min="3" max="3"/>
    <col width="14" customWidth="1" min="4" max="4"/>
    <col width="52" customWidth="1" min="5" max="5"/>
  </cols>
  <sheetData>
    <row r="1">
      <c r="A1" s="1" t="inlineStr">
        <is>
          <t>APPROVED AI-TOOLS REGISTER + SHADOW-AI DISCOVERY SWEEP</t>
        </is>
      </c>
    </row>
    <row r="2" ht="30" customHeight="1">
      <c r="A2" s="3" t="inlineStr">
        <is>
          <t>Every AI tool touching work data lives here. If it is not on this register as Approved, staff must not use it for work. Run the 10-question sweep below in week 1 — then re-run it every 6 months.</t>
        </is>
      </c>
    </row>
    <row r="4">
      <c r="A4" s="5" t="inlineStr">
        <is>
          <t>Tool / app</t>
        </is>
      </c>
      <c r="B4" s="5" t="inlineStr">
        <is>
          <t>Owner</t>
        </is>
      </c>
      <c r="C4" s="5" t="inlineStr">
        <is>
          <t>Data tier allowed</t>
        </is>
      </c>
      <c r="D4" s="5" t="inlineStr">
        <is>
          <t>Approved?</t>
        </is>
      </c>
      <c r="E4" s="5" t="inlineStr">
        <is>
          <t>Risk notes</t>
        </is>
      </c>
    </row>
    <row r="5" ht="36" customHeight="1">
      <c r="A5" s="7" t="inlineStr">
        <is>
          <t>EXAMPLE — AcmeChat Pro (company account)</t>
        </is>
      </c>
      <c r="B5" s="15" t="inlineStr">
        <is>
          <t>IT / Owner</t>
        </is>
      </c>
      <c r="C5" s="15" t="inlineStr">
        <is>
          <t>AMBER</t>
        </is>
      </c>
      <c r="D5" s="15" t="inlineStr">
        <is>
          <t>Yes</t>
        </is>
      </c>
      <c r="E5" s="7" t="inlineStr">
        <is>
          <t>Enterprise tier, data not used for training per vendor terms (verify yearly)</t>
        </is>
      </c>
    </row>
    <row r="6" ht="36" customHeight="1">
      <c r="A6" s="7" t="inlineStr">
        <is>
          <t>EXAMPLE — FreeChat AI (personal accounts)</t>
        </is>
      </c>
      <c r="B6" s="15" t="inlineStr">
        <is>
          <t>Various staff</t>
        </is>
      </c>
      <c r="C6" s="15" t="inlineStr">
        <is>
          <t>—</t>
        </is>
      </c>
      <c r="D6" s="15" t="inlineStr">
        <is>
          <t>No</t>
        </is>
      </c>
      <c r="E6" s="7" t="inlineStr">
        <is>
          <t>Public tool, personal logins, no company control — ban for work data</t>
        </is>
      </c>
    </row>
    <row r="7" ht="36" customHeight="1">
      <c r="A7" s="7" t="inlineStr">
        <is>
          <t>EXAMPLE — DocuDraft (company account)</t>
        </is>
      </c>
      <c r="B7" s="15" t="inlineStr">
        <is>
          <t>Operations</t>
        </is>
      </c>
      <c r="C7" s="15" t="inlineStr">
        <is>
          <t>GREEN</t>
        </is>
      </c>
      <c r="D7" s="15" t="inlineStr">
        <is>
          <t>Yes</t>
        </is>
      </c>
      <c r="E7" s="7" t="inlineStr">
        <is>
          <t>Approved for GREEN only; AMBER needs owner sign-off first</t>
        </is>
      </c>
    </row>
    <row r="8" ht="36" customHeight="1">
      <c r="A8" s="7" t="inlineStr">
        <is>
          <t>EXAMPLE — ImageGen Studio (company account)</t>
        </is>
      </c>
      <c r="B8" s="15" t="inlineStr">
        <is>
          <t>Marketing</t>
        </is>
      </c>
      <c r="C8" s="15" t="inlineStr">
        <is>
          <t>GREEN</t>
        </is>
      </c>
      <c r="D8" s="15" t="inlineStr">
        <is>
          <t>Yes</t>
        </is>
      </c>
      <c r="E8" s="7" t="inlineStr">
        <is>
          <t>No client faces or logos in prompts</t>
        </is>
      </c>
    </row>
    <row r="9" ht="36" customHeight="1">
      <c r="A9" s="7" t="inlineStr">
        <is>
          <t>EXAMPLE — CodePilot free tier</t>
        </is>
      </c>
      <c r="B9" s="15" t="inlineStr">
        <is>
          <t>Developer</t>
        </is>
      </c>
      <c r="C9" s="15" t="inlineStr">
        <is>
          <t>—</t>
        </is>
      </c>
      <c r="D9" s="15" t="inlineStr">
        <is>
          <t>No</t>
        </is>
      </c>
      <c r="E9" s="7" t="inlineStr">
        <is>
          <t>Free tier trains on inputs — no company code until enterprise tier reviewed</t>
        </is>
      </c>
    </row>
    <row r="10" ht="36" customHeight="1">
      <c r="A10" s="7" t="inlineStr">
        <is>
          <t>EXAMPLE — MeetingNotes AI</t>
        </is>
      </c>
      <c r="B10" s="15" t="inlineStr">
        <is>
          <t>Sales</t>
        </is>
      </c>
      <c r="C10" s="15" t="inlineStr">
        <is>
          <t>—</t>
        </is>
      </c>
      <c r="D10" s="15" t="inlineStr">
        <is>
          <t>No</t>
        </is>
      </c>
      <c r="E10" s="7" t="inlineStr">
        <is>
          <t>Records client calls — privacy review pending</t>
        </is>
      </c>
    </row>
    <row r="11">
      <c r="A11" s="9" t="n"/>
      <c r="B11" s="9" t="n"/>
      <c r="C11" s="15" t="n"/>
      <c r="D11" s="15" t="n"/>
      <c r="E11" s="9" t="n"/>
    </row>
    <row r="12">
      <c r="A12" s="9" t="n"/>
      <c r="B12" s="9" t="n"/>
      <c r="C12" s="15" t="n"/>
      <c r="D12" s="15" t="n"/>
      <c r="E12" s="9" t="n"/>
    </row>
    <row r="13">
      <c r="A13" s="9" t="n"/>
      <c r="B13" s="9" t="n"/>
      <c r="C13" s="15" t="n"/>
      <c r="D13" s="15" t="n"/>
      <c r="E13" s="9" t="n"/>
    </row>
    <row r="14">
      <c r="A14" s="9" t="n"/>
      <c r="B14" s="9" t="n"/>
      <c r="C14" s="15" t="n"/>
      <c r="D14" s="15" t="n"/>
      <c r="E14" s="9" t="n"/>
    </row>
    <row r="15">
      <c r="A15" s="9" t="n"/>
      <c r="B15" s="9" t="n"/>
      <c r="C15" s="15" t="n"/>
      <c r="D15" s="15" t="n"/>
      <c r="E15" s="9" t="n"/>
    </row>
    <row r="16">
      <c r="A16" s="9" t="n"/>
      <c r="B16" s="9" t="n"/>
      <c r="C16" s="15" t="n"/>
      <c r="D16" s="15" t="n"/>
      <c r="E16" s="9" t="n"/>
    </row>
    <row r="17">
      <c r="A17" s="9" t="n"/>
      <c r="B17" s="9" t="n"/>
      <c r="C17" s="15" t="n"/>
      <c r="D17" s="15" t="n"/>
      <c r="E17" s="9" t="n"/>
    </row>
    <row r="18">
      <c r="A18" s="9" t="n"/>
      <c r="B18" s="9" t="n"/>
      <c r="C18" s="15" t="n"/>
      <c r="D18" s="15" t="n"/>
      <c r="E18" s="9" t="n"/>
    </row>
    <row r="19">
      <c r="A19" s="9" t="n"/>
      <c r="B19" s="9" t="n"/>
      <c r="C19" s="15" t="n"/>
      <c r="D19" s="15" t="n"/>
      <c r="E19" s="9" t="n"/>
    </row>
    <row r="20">
      <c r="A20" s="9" t="n"/>
      <c r="B20" s="9" t="n"/>
      <c r="C20" s="15" t="n"/>
      <c r="D20" s="15" t="n"/>
      <c r="E20" s="9" t="n"/>
    </row>
    <row r="22">
      <c r="A22" s="2" t="inlineStr">
        <is>
          <t>Total</t>
        </is>
      </c>
    </row>
    <row r="23">
      <c r="A23" t="inlineStr">
        <is>
          <t>Tools marked NOT approved</t>
        </is>
      </c>
      <c r="B23" s="22">
        <f>COUNTIF(D5:D20,"No")</f>
        <v/>
      </c>
    </row>
    <row r="24">
      <c r="A24" t="inlineStr">
        <is>
          <t>Approved tools allowed RED data</t>
        </is>
      </c>
      <c r="B24" s="22">
        <f>COUNTIFS(D5:D20,"Yes",C5:C20,"RED")</f>
        <v/>
      </c>
    </row>
    <row r="26">
      <c r="A26" s="2" t="inlineStr">
        <is>
          <t>SHADOW-AI DISCOVERY SWEEP — 10 questions for the owner</t>
        </is>
      </c>
    </row>
    <row r="27">
      <c r="A27" s="5" t="inlineStr">
        <is>
          <t>Discovery question</t>
        </is>
      </c>
      <c r="B27" s="5" t="inlineStr">
        <is>
          <t>Answer (Y/N)</t>
        </is>
      </c>
      <c r="C27" s="5" t="inlineStr">
        <is>
          <t>Notes</t>
        </is>
      </c>
    </row>
    <row r="28" ht="36" customHeight="1">
      <c r="A28" s="7" t="inlineStr">
        <is>
          <t>1. Which AI chatbots or writing tools have staff used for work in the last 3 months (including personal accounts)?</t>
        </is>
      </c>
      <c r="B28" s="9" t="inlineStr"/>
      <c r="C28" s="9" t="inlineStr"/>
    </row>
    <row r="29" ht="36" customHeight="1">
      <c r="A29" s="7" t="inlineStr">
        <is>
          <t>2. Has anyone pasted client names, emails, or documents into a public AI tool? Which tool, and what data?</t>
        </is>
      </c>
      <c r="B29" s="9" t="inlineStr"/>
      <c r="C29" s="9" t="inlineStr"/>
    </row>
    <row r="30" ht="36" customHeight="1">
      <c r="A30" s="7" t="inlineStr">
        <is>
          <t>3. Are staff using AI browser extensions, meeting-note bots, or email assistants we did not approve?</t>
        </is>
      </c>
      <c r="B30" s="9" t="inlineStr"/>
      <c r="C30" s="9" t="inlineStr"/>
    </row>
    <row r="31" ht="36" customHeight="1">
      <c r="A31" s="7" t="inlineStr">
        <is>
          <t>4. Has anyone uploaded company files (spreadsheets, PDFs, decks) to a free AI tool?</t>
        </is>
      </c>
      <c r="B31" s="9" t="inlineStr"/>
      <c r="C31" s="9" t="inlineStr"/>
    </row>
    <row r="32" ht="36" customHeight="1">
      <c r="A32" s="7" t="inlineStr">
        <is>
          <t>5. Do contractors or freelancers use their own AI tools on our data? Which ones?</t>
        </is>
      </c>
      <c r="B32" s="9" t="inlineStr"/>
      <c r="C32" s="9" t="inlineStr"/>
    </row>
    <row r="33" ht="36" customHeight="1">
      <c r="A33" s="7" t="inlineStr">
        <is>
          <t>6. Has anyone connected an AI tool to our email, calendar, CRM, or file storage?</t>
        </is>
      </c>
      <c r="B33" s="9" t="inlineStr"/>
      <c r="C33" s="9" t="inlineStr"/>
    </row>
    <row r="34" ht="36" customHeight="1">
      <c r="A34" s="7" t="inlineStr">
        <is>
          <t>7. Has any client-facing text, proposal, or report in the last 3 months been AI-generated without verification?</t>
        </is>
      </c>
      <c r="B34" s="9" t="inlineStr"/>
      <c r="C34" s="9" t="inlineStr"/>
    </row>
    <row r="35" ht="36" customHeight="1">
      <c r="A35" s="7" t="inlineStr">
        <is>
          <t>8. Has anyone received a suspicious AI-voiced call, deepfake video, or AI-written invoice/payment request?</t>
        </is>
      </c>
      <c r="B35" s="9" t="inlineStr"/>
      <c r="C35" s="9" t="inlineStr"/>
    </row>
    <row r="36" ht="36" customHeight="1">
      <c r="A36" s="7" t="inlineStr">
        <is>
          <t>9. Do staff know what RED-tier data is, and can they name three examples?</t>
        </is>
      </c>
      <c r="B36" s="9" t="inlineStr"/>
      <c r="C36" s="9" t="inlineStr"/>
    </row>
    <row r="37" ht="36" customHeight="1">
      <c r="A37" s="7" t="inlineStr">
        <is>
          <t>10. Who is the one person responsible for approving new AI tools? (If no one — that is the first fix.)</t>
        </is>
      </c>
      <c r="B37" s="9" t="inlineStr"/>
      <c r="C37" s="9" t="inlineStr"/>
    </row>
  </sheetData>
  <mergeCells count="1">
    <mergeCell ref="A2:E2"/>
  </mergeCells>
  <dataValidations count="2">
    <dataValidation sqref="C5 C6 C7 C8 C9 C10 C11 C12 C13 C14 C15 C16 C17 C18 C19 C20" showDropDown="0" showInputMessage="0" showErrorMessage="0" allowBlank="1" type="list">
      <formula1>"RED,AMBER,GREEN"</formula1>
    </dataValidation>
    <dataValidation sqref="B28 B29 B30 B31 B32 B33 B34 B35 B36 B37 D5 D6 D7 D8 D9 D10 D11 D12 D13 D14 D15 D16 D17 D18 D19 D20"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D19"/>
  <sheetViews>
    <sheetView workbookViewId="0">
      <pane ySplit="7" topLeftCell="A8" activePane="bottomLeft" state="frozen"/>
      <selection pane="bottomLeft" activeCell="A1" sqref="A1"/>
    </sheetView>
  </sheetViews>
  <sheetFormatPr baseColWidth="8" defaultRowHeight="15"/>
  <cols>
    <col width="5" customWidth="1" min="1" max="1"/>
    <col width="88" customWidth="1" min="2" max="2"/>
    <col width="14" customWidth="1" min="3" max="3"/>
    <col width="40" customWidth="1" min="4" max="4"/>
  </cols>
  <sheetData>
    <row r="1">
      <c r="A1" s="1" t="inlineStr">
        <is>
          <t>AI-OUTPUT VERIFICATION CHECKLIST — mandatory before client-facing use</t>
        </is>
      </c>
    </row>
    <row r="2" ht="30" customHeight="1">
      <c r="A2" s="3" t="inlineStr">
        <is>
          <t>The one rule: no AI output goes client-facing or drives a business decision until every check below is DONE. The verdict cell does the math.</t>
        </is>
      </c>
    </row>
    <row r="3">
      <c r="A3" t="inlineStr">
        <is>
          <t>Total</t>
        </is>
      </c>
      <c r="B3" t="n">
        <v>12</v>
      </c>
    </row>
    <row r="4">
      <c r="A4" t="inlineStr">
        <is>
          <t>DONE</t>
        </is>
      </c>
      <c r="B4">
        <f>COUNTIF(C8:C19,"DONE")</f>
        <v/>
      </c>
    </row>
    <row r="5">
      <c r="A5" t="inlineStr">
        <is>
          <t>PENDING</t>
        </is>
      </c>
      <c r="B5">
        <f>COUNTIF(C8:C19,"PENDING")</f>
        <v/>
      </c>
    </row>
    <row r="6">
      <c r="A6" t="inlineStr">
        <is>
          <t>VERDICT</t>
        </is>
      </c>
      <c r="B6" s="23">
        <f>IF(COUNTA(C8:C19)=0,"NOT STARTED — no checks marked yet",IF(B5&gt;0,"IN PROGRESS — finish pending items","READY — all checks done"))</f>
        <v/>
      </c>
    </row>
    <row r="7">
      <c r="A7" s="5" t="inlineStr">
        <is>
          <t>#</t>
        </is>
      </c>
      <c r="B7" s="5" t="inlineStr">
        <is>
          <t>Check</t>
        </is>
      </c>
      <c r="C7" s="5" t="inlineStr">
        <is>
          <t>Status</t>
        </is>
      </c>
      <c r="D7" s="5" t="inlineStr">
        <is>
          <t>Evidence / notes</t>
        </is>
      </c>
    </row>
    <row r="8" ht="32" customHeight="1">
      <c r="A8" s="15" t="n">
        <v>1</v>
      </c>
      <c r="B8" s="7" t="inlineStr">
        <is>
          <t>Output checked against the source data / original brief — nothing invented</t>
        </is>
      </c>
      <c r="C8" s="9" t="inlineStr">
        <is>
          <t>DONE</t>
        </is>
      </c>
      <c r="D8" s="15" t="inlineStr"/>
    </row>
    <row r="9" ht="32" customHeight="1">
      <c r="A9" s="15" t="n">
        <v>2</v>
      </c>
      <c r="B9" s="7" t="inlineStr">
        <is>
          <t>No client names, PII, credentials, or RED-tier data in the output or the prompt history</t>
        </is>
      </c>
      <c r="C9" s="9" t="inlineStr">
        <is>
          <t>DONE</t>
        </is>
      </c>
      <c r="D9" s="15" t="inlineStr"/>
    </row>
    <row r="10" ht="32" customHeight="1">
      <c r="A10" s="15" t="n">
        <v>3</v>
      </c>
      <c r="B10" s="7" t="inlineStr">
        <is>
          <t>All numbers, dates, and prices recomputed from source — not trusted from the AI</t>
        </is>
      </c>
      <c r="C10" s="9" t="inlineStr">
        <is>
          <t>DONE</t>
        </is>
      </c>
      <c r="D10" s="15" t="inlineStr"/>
    </row>
    <row r="11" ht="32" customHeight="1">
      <c r="A11" s="15" t="n">
        <v>4</v>
      </c>
      <c r="B11" s="7" t="inlineStr">
        <is>
          <t>Every claim in the output is one we can support (no invented statistics or testimonials)</t>
        </is>
      </c>
      <c r="C11" s="9" t="inlineStr">
        <is>
          <t>DONE</t>
        </is>
      </c>
      <c r="D11" s="15" t="inlineStr"/>
    </row>
    <row r="12" ht="32" customHeight="1">
      <c r="A12" s="15" t="n">
        <v>5</v>
      </c>
      <c r="B12" s="7" t="inlineStr">
        <is>
          <t>Tone and brand voice reviewed — it sounds like us</t>
        </is>
      </c>
      <c r="C12" s="9" t="inlineStr">
        <is>
          <t>DONE</t>
        </is>
      </c>
      <c r="D12" s="15" t="inlineStr"/>
    </row>
    <row r="13" ht="32" customHeight="1">
      <c r="A13" s="15" t="n">
        <v>6</v>
      </c>
      <c r="B13" s="7" t="inlineStr">
        <is>
          <t>Second person reviewed it before any client-facing use (owner reviews if solo)</t>
        </is>
      </c>
      <c r="C13" s="9" t="inlineStr">
        <is>
          <t>DONE</t>
        </is>
      </c>
      <c r="D13" s="15" t="inlineStr"/>
    </row>
    <row r="14" ht="32" customHeight="1">
      <c r="A14" s="15" t="n">
        <v>7</v>
      </c>
      <c r="B14" s="7" t="inlineStr">
        <is>
          <t>AI use disclosed to the client where our contract or policy requires it</t>
        </is>
      </c>
      <c r="C14" s="9" t="inlineStr">
        <is>
          <t>DONE</t>
        </is>
      </c>
      <c r="D14" s="15" t="inlineStr"/>
    </row>
    <row r="15" ht="32" customHeight="1">
      <c r="A15" s="15" t="n">
        <v>8</v>
      </c>
      <c r="B15" s="7" t="inlineStr">
        <is>
          <t>The input respected the data tier — nothing RED was entered into any AI tool</t>
        </is>
      </c>
      <c r="C15" s="9" t="inlineStr">
        <is>
          <t>DONE</t>
        </is>
      </c>
      <c r="D15" s="15" t="inlineStr"/>
    </row>
    <row r="16" ht="32" customHeight="1">
      <c r="A16" s="15" t="n">
        <v>9</v>
      </c>
      <c r="B16" s="7" t="inlineStr">
        <is>
          <t>The tool used is on the approved TOOL-REGISTER (not a personal/shadow tool)</t>
        </is>
      </c>
      <c r="C16" s="9" t="inlineStr">
        <is>
          <t>DONE</t>
        </is>
      </c>
      <c r="D16" s="15" t="inlineStr"/>
    </row>
    <row r="17" ht="32" customHeight="1">
      <c r="A17" s="15" t="n">
        <v>10</v>
      </c>
      <c r="B17" s="7" t="inlineStr">
        <is>
          <t>The prompt is saved on file so the output is repeatable (where it matters)</t>
        </is>
      </c>
      <c r="C17" s="9" t="inlineStr">
        <is>
          <t>DONE</t>
        </is>
      </c>
      <c r="D17" s="15" t="inlineStr"/>
    </row>
    <row r="18" ht="32" customHeight="1">
      <c r="A18" s="15" t="n">
        <v>11</v>
      </c>
      <c r="B18" s="7" t="inlineStr">
        <is>
          <t>Output saved with date + tool + operator name for traceability</t>
        </is>
      </c>
      <c r="C18" s="9" t="inlineStr">
        <is>
          <t>DONE</t>
        </is>
      </c>
      <c r="D18" s="15" t="inlineStr"/>
    </row>
    <row r="19" ht="32" customHeight="1">
      <c r="A19" s="15" t="n">
        <v>12</v>
      </c>
      <c r="B19" s="7" t="inlineStr">
        <is>
          <t>If the output drives a business decision: the decision owner is named and signed off</t>
        </is>
      </c>
      <c r="C19" s="9" t="inlineStr">
        <is>
          <t>PENDING</t>
        </is>
      </c>
      <c r="D19" s="15" t="inlineStr">
        <is>
          <t>Waiting on client contract clause review (EXAMPLE)</t>
        </is>
      </c>
    </row>
  </sheetData>
  <mergeCells count="1">
    <mergeCell ref="A2:D2"/>
  </mergeCells>
  <dataValidations count="1">
    <dataValidation sqref="C8 C9 C10 C11 C12 C13 C14 C15 C16 C17 C18 C19" showDropDown="0" showInputMessage="0" showErrorMessage="0" allowBlank="1" type="list">
      <formula1>"DONE,PENDING,N/A"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D31"/>
  <sheetViews>
    <sheetView workbookViewId="0">
      <selection activeCell="A1" sqref="A1"/>
    </sheetView>
  </sheetViews>
  <sheetFormatPr baseColWidth="8" defaultRowHeight="15"/>
  <cols>
    <col width="34" customWidth="1" min="1" max="1"/>
    <col width="80" customWidth="1" min="2" max="2"/>
    <col width="20" customWidth="1" min="3" max="3"/>
    <col width="14" customWidth="1" min="4" max="4"/>
  </cols>
  <sheetData>
    <row r="1">
      <c r="A1" s="1" t="inlineStr">
        <is>
          <t>RESPONSIBLE-USE TRAINING — one pager + sign-off log</t>
        </is>
      </c>
    </row>
    <row r="2" ht="30" customHeight="1">
      <c r="A2" s="3" t="inlineStr">
        <is>
          <t>Deliver these 7 rules to every employee (15 minutes, with your own examples). Then collect a signature from everyone. No signature = no AI-tool access for work.</t>
        </is>
      </c>
    </row>
    <row r="3"/>
    <row r="4" ht="32" customHeight="1">
      <c r="A4" s="2" t="inlineStr">
        <is>
          <t>1. Rule 1 — RED is RED</t>
        </is>
      </c>
      <c r="B4" s="3" t="inlineStr">
        <is>
          <t>Client PII, passwords, financials, trade secrets, health/legal data: NEVER into any AI tool. No exceptions, no 'just this once'.</t>
        </is>
      </c>
    </row>
    <row r="5" ht="32" customHeight="1">
      <c r="A5" s="2" t="inlineStr">
        <is>
          <t>2. Rule 2 — Ask before AMBER</t>
        </is>
      </c>
      <c r="B5" s="3" t="inlineStr">
        <is>
          <t>Internal strategy, drafts, vendor terms: only into approved enterprise tools, and only with the owner's sign-off first.</t>
        </is>
      </c>
    </row>
    <row r="6" ht="32" customHeight="1">
      <c r="A6" s="2" t="inlineStr">
        <is>
          <t>3. Rule 3 — GREEN is fine</t>
        </is>
      </c>
      <c r="B6" s="3" t="inlineStr">
        <is>
          <t>Public copy, general research, blank templates: OK in approved tools.</t>
        </is>
      </c>
    </row>
    <row r="7" ht="32" customHeight="1">
      <c r="A7" s="2" t="inlineStr">
        <is>
          <t>4. Rule 4 — Verify everything</t>
        </is>
      </c>
      <c r="B7" s="3" t="inlineStr">
        <is>
          <t>AI output is a draft, not a deliverable. Check numbers, dates, names, and claims against the source before it goes anywhere.</t>
        </is>
      </c>
    </row>
    <row r="8" ht="32" customHeight="1">
      <c r="A8" s="2" t="inlineStr">
        <is>
          <t>5. Rule 5 — No shadow tools</t>
        </is>
      </c>
      <c r="B8" s="3" t="inlineStr">
        <is>
          <t>If it is not on the approved register, do not use it for work. Ask the owner to review it first — the review takes days, a leak takes seconds.</t>
        </is>
      </c>
    </row>
    <row r="9" ht="32" customHeight="1">
      <c r="A9" s="2" t="inlineStr">
        <is>
          <t>6. Rule 6 — Scams now use AI</t>
        </is>
      </c>
      <c r="B9" s="3" t="inlineStr">
        <is>
          <t>AI-voiced calls, deepfake videos, and AI-written payment requests are real. Verify any money or credential request through a known channel before acting.</t>
        </is>
      </c>
    </row>
    <row r="10" ht="32" customHeight="1">
      <c r="A10" s="2" t="inlineStr">
        <is>
          <t>7. Rule 7 — Report fast</t>
        </is>
      </c>
      <c r="B10" s="3" t="inlineStr">
        <is>
          <t>Pasted something you should not have? Got a suspicious AI message? Tell [OWNER NAME] immediately. Fast reporting limits damage; hiding it multiplies it.</t>
        </is>
      </c>
    </row>
    <row r="11"/>
    <row r="12">
      <c r="A12" s="2" t="inlineStr">
        <is>
          <t>SIGN-OFF LOG — one row per employee</t>
        </is>
      </c>
    </row>
    <row r="13">
      <c r="A13" s="5" t="inlineStr">
        <is>
          <t>Employee name</t>
        </is>
      </c>
      <c r="B13" s="5" t="inlineStr">
        <is>
          <t>Date</t>
        </is>
      </c>
      <c r="C13" s="5" t="inlineStr">
        <is>
          <t>Trainer</t>
        </is>
      </c>
      <c r="D13" s="5" t="inlineStr">
        <is>
          <t>Signed</t>
        </is>
      </c>
    </row>
    <row r="14">
      <c r="A14" s="9" t="inlineStr">
        <is>
          <t>A. Haddad (EXAMPLE)</t>
        </is>
      </c>
      <c r="B14" s="9" t="inlineStr">
        <is>
          <t>2026-09-21</t>
        </is>
      </c>
      <c r="C14" s="9" t="inlineStr">
        <is>
          <t>Studio owner</t>
        </is>
      </c>
      <c r="D14" s="15" t="inlineStr">
        <is>
          <t>Signed</t>
        </is>
      </c>
    </row>
    <row r="15">
      <c r="A15" s="9" t="inlineStr">
        <is>
          <t>B. Nasser (EXAMPLE)</t>
        </is>
      </c>
      <c r="B15" s="9" t="inlineStr">
        <is>
          <t>2026-09-21</t>
        </is>
      </c>
      <c r="C15" s="9" t="inlineStr">
        <is>
          <t>Studio owner</t>
        </is>
      </c>
      <c r="D15" s="15" t="inlineStr">
        <is>
          <t>Signed</t>
        </is>
      </c>
    </row>
    <row r="16">
      <c r="A16" s="9" t="inlineStr">
        <is>
          <t>C. Khalil (EXAMPLE)</t>
        </is>
      </c>
      <c r="B16" s="9" t="inlineStr">
        <is>
          <t>2026-09-21</t>
        </is>
      </c>
      <c r="C16" s="9" t="inlineStr">
        <is>
          <t>Studio owner</t>
        </is>
      </c>
      <c r="D16" s="15" t="inlineStr">
        <is>
          <t>Signed</t>
        </is>
      </c>
    </row>
    <row r="17">
      <c r="A17" s="9" t="inlineStr">
        <is>
          <t>D. Saadeh (EXAMPLE)</t>
        </is>
      </c>
      <c r="B17" s="9" t="inlineStr">
        <is>
          <t>2026-09-21</t>
        </is>
      </c>
      <c r="C17" s="9" t="inlineStr">
        <is>
          <t>Studio owner</t>
        </is>
      </c>
      <c r="D17" s="15" t="inlineStr">
        <is>
          <t>Signed</t>
        </is>
      </c>
    </row>
    <row r="18">
      <c r="A18" s="9" t="inlineStr">
        <is>
          <t>E. Farah (EXAMPLE)</t>
        </is>
      </c>
      <c r="B18" s="9" t="inlineStr">
        <is>
          <t>2026-09-21</t>
        </is>
      </c>
      <c r="C18" s="9" t="inlineStr">
        <is>
          <t>Studio owner</t>
        </is>
      </c>
      <c r="D18" s="15" t="inlineStr">
        <is>
          <t>Signed</t>
        </is>
      </c>
    </row>
    <row r="19">
      <c r="A19" s="9" t="inlineStr">
        <is>
          <t>F. Azar (EXAMPLE)</t>
        </is>
      </c>
      <c r="B19" s="9" t="inlineStr">
        <is>
          <t>2026-09-21</t>
        </is>
      </c>
      <c r="C19" s="9" t="inlineStr">
        <is>
          <t>Studio owner</t>
        </is>
      </c>
      <c r="D19" s="15" t="inlineStr">
        <is>
          <t>Signed</t>
        </is>
      </c>
    </row>
    <row r="20">
      <c r="A20" s="9" t="inlineStr">
        <is>
          <t>G. Khoury (EXAMPLE)</t>
        </is>
      </c>
      <c r="B20" s="9" t="inlineStr">
        <is>
          <t>2026-09-21</t>
        </is>
      </c>
      <c r="C20" s="9" t="inlineStr">
        <is>
          <t>Studio owner</t>
        </is>
      </c>
      <c r="D20" s="15" t="inlineStr">
        <is>
          <t>Signed</t>
        </is>
      </c>
    </row>
    <row r="21">
      <c r="A21" s="9" t="inlineStr">
        <is>
          <t>H. Malek (EXAMPLE)</t>
        </is>
      </c>
      <c r="B21" s="9" t="inlineStr">
        <is>
          <t>2026-09-21</t>
        </is>
      </c>
      <c r="C21" s="9" t="inlineStr">
        <is>
          <t>Studio owner</t>
        </is>
      </c>
      <c r="D21" s="15" t="inlineStr">
        <is>
          <t>Signed</t>
        </is>
      </c>
    </row>
    <row r="22">
      <c r="A22" s="9" t="inlineStr">
        <is>
          <t>I. Rahal (EXAMPLE)</t>
        </is>
      </c>
      <c r="B22" s="9" t="inlineStr">
        <is>
          <t>2026-09-21</t>
        </is>
      </c>
      <c r="C22" s="9" t="inlineStr">
        <is>
          <t>Studio owner</t>
        </is>
      </c>
      <c r="D22" s="15" t="inlineStr">
        <is>
          <t>Signed</t>
        </is>
      </c>
    </row>
    <row r="23">
      <c r="A23" s="9" t="inlineStr"/>
      <c r="B23" s="9" t="inlineStr"/>
      <c r="C23" s="9" t="inlineStr"/>
      <c r="D23" s="15" t="inlineStr">
        <is>
          <t>Pending</t>
        </is>
      </c>
    </row>
    <row r="24">
      <c r="A24" s="9" t="inlineStr"/>
      <c r="B24" s="9" t="inlineStr"/>
      <c r="C24" s="9" t="inlineStr"/>
      <c r="D24" s="15" t="inlineStr">
        <is>
          <t>Pending</t>
        </is>
      </c>
    </row>
    <row r="25">
      <c r="A25" s="9" t="inlineStr"/>
      <c r="B25" s="9" t="inlineStr"/>
      <c r="C25" s="9" t="inlineStr"/>
      <c r="D25" s="15" t="inlineStr">
        <is>
          <t>Pending</t>
        </is>
      </c>
    </row>
    <row r="26">
      <c r="A26" s="9" t="inlineStr"/>
      <c r="B26" s="9" t="inlineStr"/>
      <c r="C26" s="9" t="inlineStr"/>
      <c r="D26" s="15" t="inlineStr">
        <is>
          <t>Pending</t>
        </is>
      </c>
    </row>
    <row r="27">
      <c r="A27" s="9" t="inlineStr"/>
      <c r="B27" s="9" t="inlineStr"/>
      <c r="C27" s="9" t="inlineStr"/>
      <c r="D27" s="15" t="inlineStr">
        <is>
          <t>Pending</t>
        </is>
      </c>
    </row>
    <row r="28">
      <c r="A28" s="9" t="inlineStr"/>
      <c r="B28" s="9" t="inlineStr"/>
      <c r="C28" s="9" t="inlineStr"/>
      <c r="D28" s="15" t="inlineStr">
        <is>
          <t>Pending</t>
        </is>
      </c>
    </row>
    <row r="30">
      <c r="A30" s="2" t="inlineStr">
        <is>
          <t>Training coverage</t>
        </is>
      </c>
      <c r="B30" s="24">
        <f>COUNTIF(D14:D28,"Signed")/15</f>
        <v/>
      </c>
    </row>
    <row r="31">
      <c r="A31" s="3" t="inlineStr">
        <is>
          <t>Target: 100% before anyone uses AI tools for work.</t>
        </is>
      </c>
    </row>
  </sheetData>
  <mergeCells count="9">
    <mergeCell ref="B10:D10"/>
    <mergeCell ref="B5:D5"/>
    <mergeCell ref="A31:D31"/>
    <mergeCell ref="B8:D8"/>
    <mergeCell ref="B4:D4"/>
    <mergeCell ref="B9:D9"/>
    <mergeCell ref="A2:D2"/>
    <mergeCell ref="B7:D7"/>
    <mergeCell ref="B6:D6"/>
  </mergeCells>
  <dataValidations count="1">
    <dataValidation sqref="D14 D15 D16 D17 D18 D19 D20 D21 D22 D23 D24 D25 D26 D27 D28" showDropDown="0" showInputMessage="0" showErrorMessage="0" allowBlank="1" type="list">
      <formula1>"Signed,Pending"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E34"/>
  <sheetViews>
    <sheetView workbookViewId="0">
      <selection activeCell="A1" sqref="A1"/>
    </sheetView>
  </sheetViews>
  <sheetFormatPr baseColWidth="8" defaultRowHeight="15"/>
  <cols>
    <col width="14" customWidth="1" min="1" max="1"/>
    <col width="30" customWidth="1" min="2" max="2"/>
    <col width="62" customWidth="1" min="3" max="3"/>
    <col width="12" customWidth="1" min="4" max="4"/>
    <col width="62" customWidth="1" min="5" max="5"/>
  </cols>
  <sheetData>
    <row r="1">
      <c r="A1" s="1" t="inlineStr">
        <is>
          <t>AI-INCIDENT RESPONSE — data leaks + gen-AI scams</t>
        </is>
      </c>
    </row>
    <row r="2" ht="30" customHeight="1">
      <c r="A2" s="3" t="inlineStr">
        <is>
          <t>Two playbooks below. Print this sheet and keep it where the team can find it in a hurry. Then log every incident in the table at the bottom.</t>
        </is>
      </c>
    </row>
    <row r="4">
      <c r="A4" s="2" t="inlineStr">
        <is>
          <t>PLAYBOOK A — suspected data leak into an AI tool</t>
        </is>
      </c>
    </row>
    <row r="5" ht="30" customHeight="1">
      <c r="A5" t="n">
        <v>1</v>
      </c>
      <c r="B5" s="3" t="inlineStr">
        <is>
          <t>STOP — close the AI tool tab. Do not paste more, do not try to 'delete' the chat (assume it is stored).</t>
        </is>
      </c>
    </row>
    <row r="6" ht="30" customHeight="1">
      <c r="A6" t="n">
        <v>2</v>
      </c>
      <c r="B6" s="3" t="inlineStr">
        <is>
          <t>CONTAIN — note exactly what was pasted, which tool, which account, date and time.</t>
        </is>
      </c>
    </row>
    <row r="7" ht="30" customHeight="1">
      <c r="A7" t="n">
        <v>3</v>
      </c>
      <c r="B7" s="3" t="inlineStr">
        <is>
          <t>ASSESS TIER — was it RED, AMBER, or GREEN? RED triggers the full response below.</t>
        </is>
      </c>
    </row>
    <row r="8" ht="30" customHeight="1">
      <c r="A8" t="n">
        <v>4</v>
      </c>
      <c r="B8" s="3" t="inlineStr">
        <is>
          <t>ROTATE SECRETS — if credentials, API keys, or tokens were pasted: revoke and rotate them immediately.</t>
        </is>
      </c>
    </row>
    <row r="9" ht="30" customHeight="1">
      <c r="A9" t="n">
        <v>5</v>
      </c>
      <c r="B9" s="3" t="inlineStr">
        <is>
          <t>NOTIFY — tell the policy owner at once; notify affected clients/parties as your local law requires.</t>
        </is>
      </c>
    </row>
    <row r="10" ht="30" customHeight="1">
      <c r="A10" t="n">
        <v>6</v>
      </c>
      <c r="B10" s="3" t="inlineStr">
        <is>
          <t>REVIEW TOOL SETTINGS — check whether the tool trains on inputs; switch the team to an enterprise tier with training opt-out where available.</t>
        </is>
      </c>
    </row>
    <row r="11" ht="30" customHeight="1">
      <c r="A11" t="n">
        <v>7</v>
      </c>
      <c r="B11" s="3" t="inlineStr">
        <is>
          <t>DOCUMENT — log the incident on this sheet: what, when, tier, who, actions taken.</t>
        </is>
      </c>
    </row>
    <row r="12" ht="30" customHeight="1">
      <c r="A12" t="n">
        <v>8</v>
      </c>
      <c r="B12" s="3" t="inlineStr">
        <is>
          <t>LESSONS — within 7 days: what rule failed, what changes (training, tool approval, access).</t>
        </is>
      </c>
    </row>
    <row r="14">
      <c r="A14" s="2" t="inlineStr">
        <is>
          <t>PLAYBOOK B — gen-AI scam / fraud attempt</t>
        </is>
      </c>
    </row>
    <row r="15" ht="30" customHeight="1">
      <c r="A15" t="n">
        <v>1</v>
      </c>
      <c r="B15" s="3" t="inlineStr">
        <is>
          <t>PAUSE — treat every unexpected money, credential, or access request as hostile until proven otherwise.</t>
        </is>
      </c>
    </row>
    <row r="16" ht="30" customHeight="1">
      <c r="A16" t="n">
        <v>2</v>
      </c>
      <c r="B16" s="3" t="inlineStr">
        <is>
          <t>VERIFY through a known channel — call the person back on a saved number; never use the number in the suspicious message.</t>
        </is>
      </c>
    </row>
    <row r="17" ht="30" customHeight="1">
      <c r="A17" t="n">
        <v>3</v>
      </c>
      <c r="B17" s="3" t="inlineStr">
        <is>
          <t>DO NOT pay, click links, download attachments, or share codes while unverified.</t>
        </is>
      </c>
    </row>
    <row r="18" ht="30" customHeight="1">
      <c r="A18" t="n">
        <v>4</v>
      </c>
      <c r="B18" s="3" t="inlineStr">
        <is>
          <t>PRESERVE evidence — screenshots, headers, the voice note or video file, URLs.</t>
        </is>
      </c>
    </row>
    <row r="19" ht="30" customHeight="1">
      <c r="A19" t="n">
        <v>5</v>
      </c>
      <c r="B19" s="3" t="inlineStr">
        <is>
          <t>REPORT — tell the policy owner; report to your bank if money moved; file with local cybercrime reporting where available.</t>
        </is>
      </c>
    </row>
    <row r="20" ht="30" customHeight="1">
      <c r="A20" t="n">
        <v>6</v>
      </c>
      <c r="B20" s="3" t="inlineStr">
        <is>
          <t>WARN the team — one targeted employee usually means others were targeted too.</t>
        </is>
      </c>
    </row>
    <row r="21" ht="30" customHeight="1">
      <c r="A21" t="n">
        <v>7</v>
      </c>
      <c r="B21" s="3" t="inlineStr">
        <is>
          <t>LOG it on this sheet — scams repeat; the log is how the team recognizes the next one.</t>
        </is>
      </c>
    </row>
    <row r="23">
      <c r="A23" s="2" t="inlineStr">
        <is>
          <t>INCIDENT LOG</t>
        </is>
      </c>
    </row>
    <row r="24">
      <c r="A24" s="5" t="inlineStr">
        <is>
          <t>Date found</t>
        </is>
      </c>
      <c r="B24" s="5" t="inlineStr">
        <is>
          <t>Type</t>
        </is>
      </c>
      <c r="C24" s="5" t="inlineStr">
        <is>
          <t>What happened</t>
        </is>
      </c>
      <c r="D24" s="5" t="inlineStr">
        <is>
          <t>Severity</t>
        </is>
      </c>
      <c r="E24" s="5" t="inlineStr">
        <is>
          <t>Action taken</t>
        </is>
      </c>
    </row>
    <row r="25" ht="60" customHeight="1">
      <c r="A25" s="7" t="inlineStr">
        <is>
          <t>2026-09-14</t>
        </is>
      </c>
      <c r="B25" s="7" t="inlineStr">
        <is>
          <t>Suspected data leak (EXAMPLE)</t>
        </is>
      </c>
      <c r="C25" s="7" t="inlineStr">
        <is>
          <t>Employee pasted a client brief (names + project budget) into a public chatbot to 'summarize it'</t>
        </is>
      </c>
      <c r="D25" s="11" t="inlineStr">
        <is>
          <t>High</t>
        </is>
      </c>
      <c r="E25" s="7" t="inlineStr">
        <is>
          <t>Brief contained RED-tier client PII. Owner notified the client the same day per local law; employee re-trained; public chatbot banned for work use; enterprise tool approved for AMBER instead.</t>
        </is>
      </c>
    </row>
    <row r="26">
      <c r="A26" s="15" t="n"/>
      <c r="B26" s="15" t="n"/>
      <c r="C26" s="15" t="n"/>
      <c r="D26" s="15" t="inlineStr"/>
      <c r="E26" s="15" t="n"/>
    </row>
    <row r="27">
      <c r="A27" s="15" t="n"/>
      <c r="B27" s="15" t="n"/>
      <c r="C27" s="15" t="n"/>
      <c r="D27" s="15" t="inlineStr"/>
      <c r="E27" s="15" t="n"/>
    </row>
    <row r="28">
      <c r="A28" s="15" t="n"/>
      <c r="B28" s="15" t="n"/>
      <c r="C28" s="15" t="n"/>
      <c r="D28" s="15" t="inlineStr"/>
      <c r="E28" s="15" t="n"/>
    </row>
    <row r="29">
      <c r="A29" s="15" t="n"/>
      <c r="B29" s="15" t="n"/>
      <c r="C29" s="15" t="n"/>
      <c r="D29" s="15" t="inlineStr"/>
      <c r="E29" s="15" t="n"/>
    </row>
    <row r="30">
      <c r="A30" s="15" t="n"/>
      <c r="B30" s="15" t="n"/>
      <c r="C30" s="15" t="n"/>
      <c r="D30" s="15" t="inlineStr"/>
      <c r="E30" s="15" t="n"/>
    </row>
    <row r="31">
      <c r="A31" s="15" t="n"/>
      <c r="B31" s="15" t="n"/>
      <c r="C31" s="15" t="n"/>
      <c r="D31" s="15" t="inlineStr"/>
      <c r="E31" s="15" t="n"/>
    </row>
    <row r="32">
      <c r="A32" s="15" t="n"/>
      <c r="B32" s="15" t="n"/>
      <c r="C32" s="15" t="n"/>
      <c r="D32" s="15" t="inlineStr"/>
      <c r="E32" s="15" t="n"/>
    </row>
    <row r="33">
      <c r="A33" s="15" t="n"/>
      <c r="B33" s="15" t="n"/>
      <c r="C33" s="15" t="n"/>
      <c r="D33" s="15" t="inlineStr"/>
      <c r="E33" s="15" t="n"/>
    </row>
    <row r="34">
      <c r="A34" s="15" t="n"/>
      <c r="B34" s="15" t="n"/>
      <c r="C34" s="15" t="n"/>
      <c r="D34" s="15" t="inlineStr"/>
      <c r="E34" s="15" t="n"/>
    </row>
  </sheetData>
  <mergeCells count="16">
    <mergeCell ref="B20:E20"/>
    <mergeCell ref="B17:E17"/>
    <mergeCell ref="B9:E9"/>
    <mergeCell ref="B18:E18"/>
    <mergeCell ref="B8:E8"/>
    <mergeCell ref="A2:E2"/>
    <mergeCell ref="B12:E12"/>
    <mergeCell ref="B6:E6"/>
    <mergeCell ref="B21:E21"/>
    <mergeCell ref="B16:E16"/>
    <mergeCell ref="B15:E15"/>
    <mergeCell ref="B7:E7"/>
    <mergeCell ref="B11:E11"/>
    <mergeCell ref="B5:E5"/>
    <mergeCell ref="B19:E19"/>
    <mergeCell ref="B10:E10"/>
  </mergeCells>
  <dataValidations count="1">
    <dataValidation sqref="D26 D27 D28 D29 D30 D31 D32 D33 D34"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D9"/>
  <sheetViews>
    <sheetView workbookViewId="0">
      <selection activeCell="A1" sqref="A1"/>
    </sheetView>
  </sheetViews>
  <sheetFormatPr baseColWidth="8" defaultRowHeight="15"/>
  <cols>
    <col width="22" customWidth="1" min="1" max="1"/>
    <col width="96" customWidth="1" min="2" max="2"/>
    <col width="18" customWidth="1" min="3" max="3"/>
    <col width="14" customWidth="1" min="4" max="4"/>
  </cols>
  <sheetData>
    <row r="1">
      <c r="A1" s="1" t="inlineStr">
        <is>
          <t>30-DAY POLICY ROLLOUT PLANNER — week by week</t>
        </is>
      </c>
    </row>
    <row r="2" ht="30" customHeight="1">
      <c r="A2" s="3" t="inlineStr">
        <is>
          <t>Four weeks, one owner. Mark each week DONE when every action in it is finished. The progress cell tracks you.</t>
        </is>
      </c>
    </row>
    <row r="3">
      <c r="A3" t="inlineStr">
        <is>
          <t>Progress</t>
        </is>
      </c>
      <c r="B3" s="24">
        <f>COUNTIF(D6:D9,"DONE")/4</f>
        <v/>
      </c>
    </row>
    <row r="5">
      <c r="A5" s="5" t="inlineStr">
        <is>
          <t>Week</t>
        </is>
      </c>
      <c r="B5" s="5" t="inlineStr">
        <is>
          <t>Owner actions</t>
        </is>
      </c>
      <c r="C5" s="5" t="inlineStr">
        <is>
          <t>Owner</t>
        </is>
      </c>
      <c r="D5" s="5" t="inlineStr">
        <is>
          <t>Status</t>
        </is>
      </c>
    </row>
    <row r="6" ht="60" customHeight="1">
      <c r="A6" s="6" t="inlineStr">
        <is>
          <t>Week 1 — DISCOVER</t>
        </is>
      </c>
      <c r="B6" s="7" t="inlineStr">
        <is>
          <t>Run the 10-question shadow-AI sweep (TOOL-REGISTER). Interview staff informally — no blame, you want the truth. Fill the tool register with everything found. Classify your real data items on DATA-TIERS (aim: every recurring data type you handle gets a tier).</t>
        </is>
      </c>
      <c r="C6" s="15" t="inlineStr">
        <is>
          <t>Owner</t>
        </is>
      </c>
      <c r="D6" s="9" t="inlineStr">
        <is>
          <t>DONE</t>
        </is>
      </c>
    </row>
    <row r="7" ht="60" customHeight="1">
      <c r="A7" s="6" t="inlineStr">
        <is>
          <t>Week 2 — DECIDE</t>
        </is>
      </c>
      <c r="B7" s="7" t="inlineStr">
        <is>
          <t>Approve or ban each tool on the register. Finalize the policy: fill every [bracket] in POLICY-TEMPLATE, adapt wording to your company, and have it reviewed against local employment/privacy law. Set the review date. Announce the two rules to the team.</t>
        </is>
      </c>
      <c r="C7" s="15" t="inlineStr">
        <is>
          <t>Owner</t>
        </is>
      </c>
      <c r="D7" s="9" t="inlineStr">
        <is>
          <t>DONE</t>
        </is>
      </c>
    </row>
    <row r="8" ht="60" customHeight="1">
      <c r="A8" s="6" t="inlineStr">
        <is>
          <t>Week 3 — TRAIN</t>
        </is>
      </c>
      <c r="B8" s="7" t="inlineStr">
        <is>
          <t>Deliver the one-page training to every employee (TRAINING-SIGN-OFF). Walk through the 7 rules with real examples from YOUR data tiers. Collect a signature from everyone — no signature, no AI-tool access for work. File the log.</t>
        </is>
      </c>
      <c r="C8" s="15" t="inlineStr">
        <is>
          <t>Owner / trainer</t>
        </is>
      </c>
      <c r="D8" s="9" t="inlineStr">
        <is>
          <t>PENDING</t>
        </is>
      </c>
    </row>
    <row r="9" ht="60" customHeight="1">
      <c r="A9" s="6" t="inlineStr">
        <is>
          <t>Week 4 — ENFORCE</t>
        </is>
      </c>
      <c r="B9" s="7" t="inlineStr">
        <is>
          <t>The VERIFICATION-CHECKLIST becomes mandatory for all client-facing and decision-driving AI output. Keep the INCIDENT-RESPONSE sheet open and known. Run the week-4 review: what shadow tools resurfaced, what broke, what needs re-training.</t>
        </is>
      </c>
      <c r="C9" s="15" t="inlineStr">
        <is>
          <t>Owner</t>
        </is>
      </c>
      <c r="D9" s="9" t="inlineStr">
        <is>
          <t>PENDING</t>
        </is>
      </c>
    </row>
  </sheetData>
  <mergeCells count="1">
    <mergeCell ref="A2:D2"/>
  </mergeCells>
  <dataValidations count="1">
    <dataValidation sqref="D6 D7 D8 D9" showDropDown="0" showInputMessage="0" showErrorMessage="0" allowBlank="1" type="list">
      <formula1>"DONE,PENDING,N/A"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B27"/>
  <sheetViews>
    <sheetView workbookViewId="0">
      <selection activeCell="A1" sqref="A1"/>
    </sheetView>
  </sheetViews>
  <sheetFormatPr baseColWidth="8" defaultRowHeight="15"/>
  <cols>
    <col width="58" customWidth="1" min="1" max="1"/>
    <col width="26" customWidth="1" min="2" max="2"/>
  </cols>
  <sheetData>
    <row r="1">
      <c r="A1" s="1" t="inlineStr">
        <is>
          <t>WORKED EXAMPLE — FICTIONAL: Meridian Studio, a 12-person agency</t>
        </is>
      </c>
    </row>
    <row r="2" ht="30" customHeight="1">
      <c r="A2" s="3" t="inlineStr">
        <is>
          <t>Everything here is fictional teaching material: the company, the people, the tools, the incident, and the numbers. The arithmetic is real — every computed cell below is a formula. Change an input and watch it recompute.</t>
        </is>
      </c>
    </row>
    <row r="4">
      <c r="A4" s="2" t="inlineStr">
        <is>
          <t>INPUTS (yellow = change these)</t>
        </is>
      </c>
    </row>
    <row r="5">
      <c r="A5" t="inlineStr">
        <is>
          <t>Employees total</t>
        </is>
      </c>
      <c r="B5" s="18" t="n">
        <v>12</v>
      </c>
    </row>
    <row r="6">
      <c r="A6" t="inlineStr">
        <is>
          <t>Employees using AI tools with no rules (found in sweep)</t>
        </is>
      </c>
      <c r="B6" s="18" t="n">
        <v>9</v>
      </c>
    </row>
    <row r="7">
      <c r="A7" t="inlineStr">
        <is>
          <t>Unapproved / shadow AI tools found</t>
        </is>
      </c>
      <c r="B7" s="18" t="n">
        <v>7</v>
      </c>
    </row>
    <row r="8">
      <c r="A8" t="inlineStr">
        <is>
          <t>Data items classified on DATA-TIERS</t>
        </is>
      </c>
      <c r="B8" s="18" t="n">
        <v>24</v>
      </c>
    </row>
    <row r="9">
      <c r="A9" t="inlineStr">
        <is>
          <t>…of which RED-tier</t>
        </is>
      </c>
      <c r="B9" s="18" t="n">
        <v>10</v>
      </c>
    </row>
    <row r="10">
      <c r="A10" t="inlineStr">
        <is>
          <t>Suspected data-leak incidents found</t>
        </is>
      </c>
      <c r="B10" s="18" t="n">
        <v>1</v>
      </c>
    </row>
    <row r="11">
      <c r="A11" t="inlineStr">
        <is>
          <t>Employees to train</t>
        </is>
      </c>
      <c r="B11" s="18" t="n">
        <v>12</v>
      </c>
    </row>
    <row r="13">
      <c r="A13" s="2" t="inlineStr">
        <is>
          <t>COMPUTED — do not type here</t>
        </is>
      </c>
    </row>
    <row r="14">
      <c r="A14" t="inlineStr">
        <is>
          <t>Uncontrolled AI touchpoints (staff x shadow tools)</t>
        </is>
      </c>
      <c r="B14" s="22">
        <f>B6*B7</f>
        <v/>
      </c>
    </row>
    <row r="15">
      <c r="A15" t="inlineStr">
        <is>
          <t>RED-tier exposure points (RED items x unruled staff)</t>
        </is>
      </c>
      <c r="B15" s="22">
        <f>B9*B6</f>
        <v/>
      </c>
    </row>
    <row r="16">
      <c r="A16" t="inlineStr">
        <is>
          <t>Share of staff using AI with no rules</t>
        </is>
      </c>
      <c r="B16" s="25">
        <f>B6/B5</f>
        <v/>
      </c>
    </row>
    <row r="17">
      <c r="A17" t="inlineStr">
        <is>
          <t>Share of data that is RED-tier</t>
        </is>
      </c>
      <c r="B17" s="25">
        <f>B9/B8</f>
        <v/>
      </c>
    </row>
    <row r="18">
      <c r="A18" t="inlineStr">
        <is>
          <t>Training coverage target</t>
        </is>
      </c>
      <c r="B18" s="25">
        <f>B11/B5</f>
        <v/>
      </c>
    </row>
    <row r="20">
      <c r="A20" s="2" t="inlineStr">
        <is>
          <t>THE STORY (fictional)</t>
        </is>
      </c>
    </row>
    <row r="21" ht="36" customHeight="1">
      <c r="A21" s="3" t="inlineStr">
        <is>
          <t>• Week 1: owner runs the 10-question sweep. 9 of 12 staff admit using AI for work; 7 unapproved tools surface — personal chatbot accounts, a free meeting-note bot, an AI browser extension nobody approved.</t>
        </is>
      </c>
    </row>
    <row r="22" ht="36" customHeight="1">
      <c r="A22" s="3" t="inlineStr">
        <is>
          <t>• The incident: one employee pasted a client brief (names + budget — RED data) into a public chatbot 'to summarize it'. Caught in the sweep interview, logged on INCIDENT-RESPONSE, client notified the same day.</t>
        </is>
      </c>
    </row>
    <row r="23" ht="36" customHeight="1">
      <c r="A23" s="3" t="inlineStr">
        <is>
          <t>• Week 2: policy finalized from the template; the 7 shadow tools are banned for work data; 2 enterprise-tier tools approved for AMBER.</t>
        </is>
      </c>
    </row>
    <row r="24" ht="36" customHeight="1">
      <c r="A24" s="3" t="inlineStr">
        <is>
          <t>• Week 3: all 12 staff trained on the 7 rules; 12/12 signatures collected.</t>
        </is>
      </c>
    </row>
    <row r="25" ht="36" customHeight="1">
      <c r="A25" s="3" t="inlineStr">
        <is>
          <t>• Week 4: verification checklist mandatory. First month: zero new shadow tools, one attempted AI-voiced payment scam caught by Playbook B (verified via a known number — it was fake).</t>
        </is>
      </c>
    </row>
    <row r="27">
      <c r="A27" s="3" t="inlineStr">
        <is>
          <t>The point: the owner did not need new software. She needed to SEE what was already happening — the sweep found it in week 1.</t>
        </is>
      </c>
    </row>
  </sheetData>
  <mergeCells count="7">
    <mergeCell ref="A24:B24"/>
    <mergeCell ref="A21:B21"/>
    <mergeCell ref="A2:B2"/>
    <mergeCell ref="A25:B25"/>
    <mergeCell ref="A23:B23"/>
    <mergeCell ref="A27:B27"/>
    <mergeCell ref="A22:B2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2026-10-20T08:39:09+00:00Z</dcterms:created>
  <dcterms:modified xmlns:dcterms="http://purl.org/dc/terms/" xmlns:xsi="http://www.w3.org/2001/XMLSchema-instance" xsi:type="dcterms:W3CDTF">2026-10-20T08:39:10+00:00Z</dcterms:modified>
</cp:coreProperties>
</file>